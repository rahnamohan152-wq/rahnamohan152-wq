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a37ec788b6efcd/Documents/"/>
    </mc:Choice>
  </mc:AlternateContent>
  <xr:revisionPtr revIDLastSave="0" documentId="8_{9534BDD6-3882-4C80-B849-66BBB0B72A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43" i="3"/>
  <c r="D4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D41" i="3"/>
  <c r="D40" i="3"/>
  <c r="D39" i="3"/>
  <c r="D38" i="3"/>
  <c r="D37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<sst xmlns="http://schemas.openxmlformats.org/spreadsheetml/2006/main" count="312" uniqueCount="121">
  <si>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</si>
  <si>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</si>
  <si>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</si>
  <si>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</si>
  <si>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</si>
  <si>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</si>
  <si>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</si>
  <si>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</si>
  <si>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</si>
  <si>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</si>
  <si>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</si>
  <si>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</si>
  <si>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</si>
  <si>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</si>
  <si>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</si>
  <si>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</si>
  <si>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</si>
  <si>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</si>
  <si>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</si>
  <si>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</si>
  <si>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</si>
  <si>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</si>
  <si>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</si>
  <si>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</si>
  <si>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</si>
  <si>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</si>
  <si>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</si>
  <si>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</si>
  <si>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</si>
  <si>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</si>
  <si>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</si>
  <si>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</si>
  <si>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</si>
  <si>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</si>
  <si>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</si>
  <si>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</si>
  <si>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</si>
  <si>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</si>
  <si>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</si>
  <si>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</si>
  <si>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</si>
  <si>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</si>
  <si>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</si>
  <si>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</si>
  <si>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</si>
  <si>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</si>
  <si>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</si>
  <si>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</si>
  <si>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</si>
  <si>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</si>
  <si>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</si>
  <si>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</si>
  <si>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</si>
  <si>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</si>
  <si>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</si>
  <si>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</si>
  <si>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</si>
  <si>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</si>
  <si>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</si>
  <si>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</si>
  <si>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</si>
  <si>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</si>
  <si>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</si>
  <si>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</si>
  <si>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</si>
  <si>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</si>
  <si>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</si>
  <si>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</si>
  <si>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</si>
  <si>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</si>
  <si>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</si>
  <si>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</si>
  <si>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</si>
  <si>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</si>
  <si>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</si>
  <si>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</si>
  <si>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</si>
  <si>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</si>
  <si>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</si>
  <si>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</si>
  <si>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</si>
  <si>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</si>
  <si>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</si>
  <si>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</si>
  <si>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</si>
  <si>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</si>
  <si>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</si>
  <si>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</si>
  <si>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</si>
  <si>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</si>
  <si>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</si>
  <si>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</si>
  <si>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</si>
  <si>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</si>
  <si>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</si>
  <si>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</si>
  <si>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</si>
  <si>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</si>
  <si>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</si>
  <si>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</si>
  <si>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</si>
  <si>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</si>
  <si>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</si>
  <si>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</si>
  <si>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</si>
  <si>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</si>
  <si>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</si>
  <si>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</si>
  <si>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</si>
  <si>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</si>
  <si>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the product</t>
  </si>
  <si>
    <t>total number of product</t>
  </si>
  <si>
    <t>Average price of the product</t>
  </si>
  <si>
    <t>Minimum Price of product</t>
  </si>
  <si>
    <t>maximum price of product</t>
  </si>
  <si>
    <t>PRICE RANGE</t>
  </si>
  <si>
    <t>Total price of electronics</t>
  </si>
  <si>
    <t>Product with price&lt;100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</si>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</sst>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13F075-728C-4C90-B908-20299FA40276}" name="Table4" displayName="Table4" ref="G1:J35" totalsRowShown="0" headerRowDxfId="0">
  <autoFilter ref="G1:J35" xr:uid="{BC13F075-728C-4C90-B908-20299FA40276}"/>
  <tableColumns count="4">
    <tableColumn id="1" xr3:uid="{9F31933D-AE28-46D0-A879-272C38F67E1A}" name="PRICE RANGE">
      <calculatedColumnFormula>IF(D2&gt;=500,"HIGH PRICE","STANDARD PRICE")</calculatedColumnFormula>
    </tableColumn>
    <tableColumn id="2" xr3:uid="{AB1059AF-63DF-4897-B8AB-D831CEA33BB0}" name="DAY">
      <calculatedColumnFormula>LEFT(A2,2)</calculatedColumnFormula>
    </tableColumn>
    <tableColumn id="3" xr3:uid="{0B442A45-3AFD-435C-9C30-D53509741884}" name="COUNTRY CODE">
      <calculatedColumnFormula>RIGHT(A2,2)</calculatedColumnFormula>
    </tableColumn>
    <tableColumn id="4" xr3:uid="{A72BBAD5-68E9-4F98-AA72-CD37E522D7EC}" name="MONTH">
      <calculatedColumnFormula>MID(A2,4,3)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1" workbookViewId="0">
      <selection activeCell="D19" sqref="D19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0541-B8D3-443A-A883-E77A7447A595}">
  <dimension ref="A1:J44"/>
  <sheetViews>
    <sheetView tabSelected="1" zoomScale="70" zoomScaleNormal="70" workbookViewId="0">
      <selection activeCell="M23" sqref="M23"/>
    </sheetView>
  </sheetViews>
  <sheetFormatPr defaultRowHeight="13.2" x14ac:dyDescent="0.25"/>
  <cols>
    <col min="1" max="1" width="12.6640625" customWidth="1"/>
    <col min="2" max="2" width="14.109375" customWidth="1"/>
    <col min="3" max="3" width="25.5546875" customWidth="1"/>
    <col min="4" max="5" width="12.6640625" customWidth="1"/>
    <col min="6" max="6" width="23.6640625" customWidth="1"/>
    <col min="7" max="7" width="32.6640625" customWidth="1"/>
    <col min="8" max="8" width="20.33203125" customWidth="1"/>
    <col min="9" max="9" width="19.88671875" customWidth="1"/>
    <col min="10" max="10" width="19.21875" customWidth="1"/>
  </cols>
  <sheetData>
    <row r="1" spans="1:10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0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t="str">
        <f>IF(D3&gt;=500,"HIGH PRICE","STANDARD PRICE")</f>
        <v>STANDARD PRICE</v>
      </c>
      <c r="H3" t="str">
        <f>LEFT(A3,2)</f>
        <v>15</v>
      </c>
      <c r="I3" t="str">
        <f>RIGHT(A3,2)</f>
        <v>US</v>
      </c>
      <c r="J3" t="str">
        <f>MID(A3,4,3)</f>
        <v>FEB</v>
      </c>
    </row>
    <row r="4" spans="1:10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t="str">
        <f>IF(D4&gt;=500,"HIGH PRICE","STANDARD PRICE")</f>
        <v>STANDARD PRICE</v>
      </c>
      <c r="H4" t="str">
        <f>LEFT(A4,2)</f>
        <v>03</v>
      </c>
      <c r="I4" t="str">
        <f>RIGHT(A4,2)</f>
        <v>US</v>
      </c>
      <c r="J4" t="str">
        <f>MID(A4,4,3)</f>
        <v>MAR</v>
      </c>
    </row>
    <row r="5" spans="1:10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t="str">
        <f>IF(D5&gt;=500,"HIGH PRICE","STANDARD PRICE")</f>
        <v>HIGH PRICE</v>
      </c>
      <c r="H5" t="str">
        <f>LEFT(A5,2)</f>
        <v>11</v>
      </c>
      <c r="I5" t="str">
        <f>RIGHT(A5,2)</f>
        <v>US</v>
      </c>
      <c r="J5" t="str">
        <f>MID(A5,4,3)</f>
        <v>APR</v>
      </c>
    </row>
    <row r="6" spans="1:10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t="str">
        <f>IF(D6&gt;=500,"HIGH PRICE","STANDARD PRICE")</f>
        <v>STANDARD PRICE</v>
      </c>
      <c r="H6" t="str">
        <f>LEFT(A6,2)</f>
        <v>22</v>
      </c>
      <c r="I6" t="str">
        <f>RIGHT(A6,2)</f>
        <v>US</v>
      </c>
      <c r="J6" t="str">
        <f>MID(A6,4,3)</f>
        <v>MAY</v>
      </c>
    </row>
    <row r="7" spans="1:10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t="str">
        <f>IF(D7&gt;=500,"HIGH PRICE","STANDARD PRICE")</f>
        <v>STANDARD PRICE</v>
      </c>
      <c r="H7" t="str">
        <f>LEFT(A7,2)</f>
        <v>07</v>
      </c>
      <c r="I7" t="str">
        <f>RIGHT(A7,2)</f>
        <v>UK</v>
      </c>
      <c r="J7" t="str">
        <f>MID(A7,4,3)</f>
        <v>JUN</v>
      </c>
    </row>
    <row r="8" spans="1:10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t="str">
        <f>IF(D8&gt;=500,"HIGH PRICE","STANDARD PRICE")</f>
        <v>STANDARD PRICE</v>
      </c>
      <c r="H8" t="str">
        <f>LEFT(A8,2)</f>
        <v>19</v>
      </c>
      <c r="I8" t="str">
        <f>RIGHT(A8,2)</f>
        <v>UK</v>
      </c>
      <c r="J8" t="str">
        <f>MID(A8,4,3)</f>
        <v>JUL</v>
      </c>
    </row>
    <row r="9" spans="1:10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t="str">
        <f>IF(D9&gt;=500,"HIGH PRICE","STANDARD PRICE")</f>
        <v>STANDARD PRICE</v>
      </c>
      <c r="H9" t="str">
        <f>LEFT(A9,2)</f>
        <v>23</v>
      </c>
      <c r="I9" t="str">
        <f>RIGHT(A9,2)</f>
        <v>UK</v>
      </c>
      <c r="J9" t="str">
        <f>MID(A9,4,3)</f>
        <v>AUG</v>
      </c>
    </row>
    <row r="10" spans="1:10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t="str">
        <f>IF(D10&gt;=500,"HIGH PRICE","STANDARD PRICE")</f>
        <v>HIGH PRICE</v>
      </c>
      <c r="H10" t="str">
        <f>LEFT(A10,2)</f>
        <v>05</v>
      </c>
      <c r="I10" t="str">
        <f>RIGHT(A10,2)</f>
        <v>UK</v>
      </c>
      <c r="J10" t="str">
        <f>MID(A10,4,3)</f>
        <v>SEP</v>
      </c>
    </row>
    <row r="11" spans="1:10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t="str">
        <f>IF(D11&gt;=500,"HIGH PRICE","STANDARD PRICE")</f>
        <v>STANDARD PRICE</v>
      </c>
      <c r="H11" t="str">
        <f>LEFT(A11,2)</f>
        <v>14</v>
      </c>
      <c r="I11" t="str">
        <f>RIGHT(A11,2)</f>
        <v>UK</v>
      </c>
      <c r="J11" t="str">
        <f>MID(A11,4,3)</f>
        <v>OCT</v>
      </c>
    </row>
    <row r="12" spans="1:10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t="str">
        <f>IF(D12&gt;=500,"HIGH PRICE","STANDARD PRICE")</f>
        <v>HIGH PRICE</v>
      </c>
      <c r="H12" t="str">
        <f>LEFT(A12,2)</f>
        <v>17</v>
      </c>
      <c r="I12" t="str">
        <f>RIGHT(A12,2)</f>
        <v>IN</v>
      </c>
      <c r="J12" t="str">
        <f>MID(A12,4,3)</f>
        <v>JUN</v>
      </c>
    </row>
    <row r="13" spans="1:10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t="str">
        <f>IF(D13&gt;=500,"HIGH PRICE","STANDARD PRICE")</f>
        <v>STANDARD PRICE</v>
      </c>
      <c r="H13" t="str">
        <f>LEFT(A13,2)</f>
        <v>25</v>
      </c>
      <c r="I13" t="str">
        <f>RIGHT(A13,2)</f>
        <v>AU</v>
      </c>
      <c r="J13" t="str">
        <f>MID(A13,4,3)</f>
        <v>NOV</v>
      </c>
    </row>
    <row r="14" spans="1:10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t="str">
        <f>IF(D14&gt;=500,"HIGH PRICE","STANDARD PRICE")</f>
        <v>STANDARD PRICE</v>
      </c>
      <c r="H14" t="str">
        <f>LEFT(A14,2)</f>
        <v>08</v>
      </c>
      <c r="I14" t="str">
        <f>RIGHT(A14,2)</f>
        <v>DE</v>
      </c>
      <c r="J14" t="str">
        <f>MID(A14,4,3)</f>
        <v>DEC</v>
      </c>
    </row>
    <row r="15" spans="1:10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t="str">
        <f>IF(D15&gt;=500,"HIGH PRICE","STANDARD PRICE")</f>
        <v>STANDARD PRICE</v>
      </c>
      <c r="H15" t="str">
        <f>LEFT(A15,2)</f>
        <v>18</v>
      </c>
      <c r="I15" t="str">
        <f>RIGHT(A15,2)</f>
        <v>CA</v>
      </c>
      <c r="J15" t="str">
        <f>MID(A15,4,3)</f>
        <v>FEB</v>
      </c>
    </row>
    <row r="16" spans="1:10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t="str">
        <f>IF(D16&gt;=500,"HIGH PRICE","STANDARD PRICE")</f>
        <v>STANDARD PRICE</v>
      </c>
      <c r="H16" t="str">
        <f>LEFT(A16,2)</f>
        <v>16</v>
      </c>
      <c r="I16" t="str">
        <f>RIGHT(A16,2)</f>
        <v>ES</v>
      </c>
      <c r="J16" t="str">
        <f>MID(A16,4,3)</f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t="str">
        <f>IF(D17&gt;=500,"HIGH PRICE","STANDARD PRICE")</f>
        <v>STANDARD PRICE</v>
      </c>
      <c r="H17" t="str">
        <f>LEFT(A17,2)</f>
        <v>21</v>
      </c>
      <c r="I17" t="str">
        <f>RIGHT(A17,2)</f>
        <v>CA</v>
      </c>
      <c r="J17" t="str">
        <f>MID(A17,4,3)</f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t="str">
        <f>IF(D18&gt;=500,"HIGH PRICE","STANDARD PRICE")</f>
        <v>STANDARD PRICE</v>
      </c>
      <c r="H18" t="str">
        <f>LEFT(A18,2)</f>
        <v>20</v>
      </c>
      <c r="I18" t="str">
        <f>RIGHT(A18,2)</f>
        <v>CN</v>
      </c>
      <c r="J18" t="str">
        <f>MID(A18,4,3)</f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t="str">
        <f>IF(D19&gt;=500,"HIGH PRICE","STANDARD PRICE")</f>
        <v>HIGH PRICE</v>
      </c>
      <c r="H19" t="str">
        <f>LEFT(A19,2)</f>
        <v>27</v>
      </c>
      <c r="I19" t="str">
        <f>RIGHT(A19,2)</f>
        <v>IT</v>
      </c>
      <c r="J19" t="str">
        <f>MID(A19,4,3)</f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t="str">
        <f>IF(D20&gt;=500,"HIGH PRICE","STANDARD PRICE")</f>
        <v>STANDARD PRICE</v>
      </c>
      <c r="H20" t="str">
        <f>LEFT(A20,2)</f>
        <v>01</v>
      </c>
      <c r="I20" t="str">
        <f>RIGHT(A20,2)</f>
        <v>UK</v>
      </c>
      <c r="J20" t="str">
        <f>MID(A20,4,3)</f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t="str">
        <f>IF(D21&gt;=500,"HIGH PRICE","STANDARD PRICE")</f>
        <v>STANDARD PRICE</v>
      </c>
      <c r="H21" t="str">
        <f>LEFT(A21,2)</f>
        <v>14</v>
      </c>
      <c r="I21" t="str">
        <f>RIGHT(A21,2)</f>
        <v>US</v>
      </c>
      <c r="J21" t="str">
        <f>MID(A21,4,3)</f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t="str">
        <f>IF(D22&gt;=500,"HIGH PRICE","STANDARD PRICE")</f>
        <v>HIGH PRICE</v>
      </c>
      <c r="H22" t="str">
        <f>LEFT(A22,2)</f>
        <v>14</v>
      </c>
      <c r="I22" t="str">
        <f>RIGHT(A22,2)</f>
        <v>RU</v>
      </c>
      <c r="J22" t="str">
        <f>MID(A22,4,3)</f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t="str">
        <f>IF(D23&gt;=500,"HIGH PRICE","STANDARD PRICE")</f>
        <v>STANDARD PRICE</v>
      </c>
      <c r="H23" t="str">
        <f>LEFT(A23,2)</f>
        <v>09</v>
      </c>
      <c r="I23" t="str">
        <f>RIGHT(A23,2)</f>
        <v>CA</v>
      </c>
      <c r="J23" t="str">
        <f>MID(A23,4,3)</f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t="str">
        <f>IF(D24&gt;=500,"HIGH PRICE","STANDARD PRICE")</f>
        <v>STANDARD PRICE</v>
      </c>
      <c r="H24" t="str">
        <f>LEFT(A24,2)</f>
        <v>19</v>
      </c>
      <c r="I24" t="str">
        <f>RIGHT(A24,2)</f>
        <v>BR</v>
      </c>
      <c r="J24" t="str">
        <f>MID(A24,4,3)</f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t="str">
        <f>IF(D25&gt;=500,"HIGH PRICE","STANDARD PRICE")</f>
        <v>STANDARD PRICE</v>
      </c>
      <c r="H25" t="str">
        <f>LEFT(A25,2)</f>
        <v>21</v>
      </c>
      <c r="I25" t="str">
        <f>RIGHT(A25,2)</f>
        <v>CA</v>
      </c>
      <c r="J25" t="str">
        <f>MID(A25,4,3)</f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t="str">
        <f>IF(D26&gt;=500,"HIGH PRICE","STANDARD PRICE")</f>
        <v>HIGH PRICE</v>
      </c>
      <c r="H26" t="str">
        <f>LEFT(A26,2)</f>
        <v>29</v>
      </c>
      <c r="I26" t="str">
        <f>RIGHT(A26,2)</f>
        <v>CA</v>
      </c>
      <c r="J26" t="str">
        <f>MID(A26,4,3)</f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t="str">
        <f>IF(D27&gt;=500,"HIGH PRICE","STANDARD PRICE")</f>
        <v>STANDARD PRICE</v>
      </c>
      <c r="H27" t="str">
        <f>LEFT(A27,2)</f>
        <v>03</v>
      </c>
      <c r="I27" t="str">
        <f>RIGHT(A27,2)</f>
        <v>CA</v>
      </c>
      <c r="J27" t="str">
        <f>MID(A27,4,3)</f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t="str">
        <f>IF(D28&gt;=500,"HIGH PRICE","STANDARD PRICE")</f>
        <v>STANDARD PRICE</v>
      </c>
      <c r="H28" t="str">
        <f>LEFT(A28,2)</f>
        <v>11</v>
      </c>
      <c r="I28" t="str">
        <f>RIGHT(A28,2)</f>
        <v>CA</v>
      </c>
      <c r="J28" t="str">
        <f>MID(A28,4,3)</f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t="str">
        <f>IF(D29&gt;=500,"HIGH PRICE","STANDARD PRICE")</f>
        <v>STANDARD PRICE</v>
      </c>
      <c r="H29" t="str">
        <f>LEFT(A29,2)</f>
        <v>16</v>
      </c>
      <c r="I29" t="str">
        <f>RIGHT(A29,2)</f>
        <v>ES</v>
      </c>
      <c r="J29" t="str">
        <f>MID(A29,4,3)</f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t="str">
        <f>IF(D30&gt;=500,"HIGH PRICE","STANDARD PRICE")</f>
        <v>STANDARD PRICE</v>
      </c>
      <c r="H30" t="str">
        <f>LEFT(A30,2)</f>
        <v>07</v>
      </c>
      <c r="I30" t="str">
        <f>RIGHT(A30,2)</f>
        <v>CA</v>
      </c>
      <c r="J30" t="str">
        <f>MID(A30,4,3)</f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t="str">
        <f>IF(D31&gt;=500,"HIGH PRICE","STANDARD PRICE")</f>
        <v>STANDARD PRICE</v>
      </c>
      <c r="H31" t="str">
        <f>LEFT(A31,2)</f>
        <v>13</v>
      </c>
      <c r="I31" t="str">
        <f>RIGHT(A31,2)</f>
        <v>CA</v>
      </c>
      <c r="J31" t="str">
        <f>MID(A31,4,3)</f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t="str">
        <f>IF(D32&gt;=500,"HIGH PRICE","STANDARD PRICE")</f>
        <v>STANDARD PRICE</v>
      </c>
      <c r="H32" t="str">
        <f>LEFT(A32,2)</f>
        <v>24</v>
      </c>
      <c r="I32" t="str">
        <f>RIGHT(A32,2)</f>
        <v>CA</v>
      </c>
      <c r="J32" t="str">
        <f>MID(A32,4,3)</f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t="str">
        <f>IF(D33&gt;=500,"HIGH PRICE","STANDARD PRICE")</f>
        <v>STANDARD PRICE</v>
      </c>
      <c r="H33" t="str">
        <f>LEFT(A33,2)</f>
        <v>02</v>
      </c>
      <c r="I33" t="str">
        <f>RIGHT(A33,2)</f>
        <v>CA</v>
      </c>
      <c r="J33" t="str">
        <f>MID(A33,4,3)</f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t="str">
        <f>IF(D34&gt;=500,"HIGH PRICE","STANDARD PRICE")</f>
        <v>HIGH PRICE</v>
      </c>
      <c r="H34" t="str">
        <f>LEFT(A34,2)</f>
        <v>17</v>
      </c>
      <c r="I34" t="str">
        <f>RIGHT(A34,2)</f>
        <v>IN</v>
      </c>
      <c r="J34" t="str">
        <f>MID(A34,4,3)</f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t="str">
        <f>IF(D35&gt;=500,"HIGH PRICE","STANDARD PRICE")</f>
        <v>STANDARD PRICE</v>
      </c>
      <c r="H35" t="str">
        <f>LEFT(A35,2)</f>
        <v>09</v>
      </c>
      <c r="I35" t="str">
        <f>RIGHT(A35,2)</f>
        <v>FR</v>
      </c>
      <c r="J35" t="str">
        <f>MID(A35,4,3)</f>
        <v>JUL</v>
      </c>
    </row>
    <row r="37" spans="1:10" x14ac:dyDescent="0.25">
      <c r="C37" s="10" t="s">
        <v>110</v>
      </c>
      <c r="D37" s="10">
        <f>SUM(D2:D35)</f>
        <v>10100</v>
      </c>
    </row>
    <row r="38" spans="1:10" x14ac:dyDescent="0.25">
      <c r="C38" s="10" t="s">
        <v>111</v>
      </c>
      <c r="D38" s="10">
        <f>COUNTA(B2:B35)</f>
        <v>34</v>
      </c>
    </row>
    <row r="39" spans="1:10" x14ac:dyDescent="0.25">
      <c r="C39" s="10" t="s">
        <v>112</v>
      </c>
      <c r="D39" s="10">
        <f>AVERAGE(D2:D35)</f>
        <v>297.05882352941177</v>
      </c>
    </row>
    <row r="40" spans="1:10" x14ac:dyDescent="0.25">
      <c r="C40" s="10" t="s">
        <v>113</v>
      </c>
      <c r="D40" s="10">
        <f>MIN(D2:D35)</f>
        <v>30</v>
      </c>
    </row>
    <row r="41" spans="1:10" x14ac:dyDescent="0.25">
      <c r="C41" s="10" t="s">
        <v>114</v>
      </c>
      <c r="D41" s="10">
        <f>MAX(D2:D35)</f>
        <v>1000</v>
      </c>
    </row>
    <row r="42" spans="1:10" x14ac:dyDescent="0.25">
      <c r="C42" s="10" t="s">
        <v>116</v>
      </c>
      <c r="D42" s="10">
        <f>SUMIF(F2:F35,"electronics",D2:D35)</f>
        <v>8050</v>
      </c>
    </row>
    <row r="43" spans="1:10" x14ac:dyDescent="0.25">
      <c r="C43" s="10" t="s">
        <v>117</v>
      </c>
      <c r="D43" s="10">
        <f>COUNTIF(D2:D35,"&lt;100")</f>
        <v>11</v>
      </c>
    </row>
    <row r="44" spans="1:10" x14ac:dyDescent="0.25">
      <c r="C44" s="10"/>
      <c r="D44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RAHNA MOHAN</dc:creator>
  <cp:lastModifiedBy>RAHNA MOHAN</cp:lastModifiedBy>
  <dcterms:created xsi:type="dcterms:W3CDTF">2026-10-15T15:58:13Z</dcterms:created>
  <dcterms:modified xsi:type="dcterms:W3CDTF">2026-10-15T15:58:13Z</dcterms:modified>
</cp:coreProperties>
</file>